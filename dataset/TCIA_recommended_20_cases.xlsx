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 20 Cases" sheetId="1" state="visible" r:id="rId3"/>
    <sheet name="Method and Cavea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<sst xmlns="http://schemas.openxmlformats.org/spreadsheetml/2006/main" count="195" uniqueCount="174">
  <si>
    <t xml:space="preserve">Recommended 20 TCIA Prostate MRI–Ultrasound Biopsy Cases</t>
  </si>
  <si>
    <t xml:space="preserve">Selection prioritizes valid MRI biopsy coordinates, all three Gleason color classes, matching MRI targets, simple series matching, and DWI-supplement evidence.</t>
  </si>
  <si>
    <t xml:space="preserve">Rank</t>
  </si>
  <si>
    <t xml:space="preserve">Patient ID</t>
  </si>
  <si>
    <t xml:space="preserve">Scene group</t>
  </si>
  <si>
    <t xml:space="preserve">Total cores</t>
  </si>
  <si>
    <t xml:space="preserve">Valid MRI tracks</t>
  </si>
  <si>
    <t xml:space="preserve">Valid %</t>
  </si>
  <si>
    <t xml:space="preserve">Benign / Blue</t>
  </si>
  <si>
    <t xml:space="preserve">Gleason 3+3 / Orange</t>
  </si>
  <si>
    <t xml:space="preserve">Higher grade / Red</t>
  </si>
  <si>
    <t xml:space="preserve">MRI targets ≥ 2</t>
  </si>
  <si>
    <t xml:space="preserve">Max target score</t>
  </si>
  <si>
    <t xml:space="preserve">MRI Series UID</t>
  </si>
  <si>
    <t xml:space="preserve">US Series UID</t>
  </si>
  <si>
    <t xml:space="preserve">Additional Series UID 1</t>
  </si>
  <si>
    <t xml:space="preserve">Additional Series UID 2</t>
  </si>
  <si>
    <t xml:space="preserve">Precise selection reason</t>
  </si>
  <si>
    <t xml:space="preserve">Prostate-MRI-US-Biopsy-0396</t>
  </si>
  <si>
    <t xml:space="preserve">Simple</t>
  </si>
  <si>
    <t xml:space="preserve">1.3.6.1.4.1.14519.5.2.1.118432358883624532096253314924516639723</t>
  </si>
  <si>
    <t xml:space="preserve">1.3.6.1.4.1.14519.5.2.1.130614821430940002608488302197529593031</t>
  </si>
  <si>
    <t xml:space="preserve">1.3.6.1.4.1.14519.5.2.1.25720106245064176288901986915012203145</t>
  </si>
  <si>
    <t xml:space="preserve">1.3.6.1.4.1.14519.5.2.1.76190057244344771860739653654820227132</t>
  </si>
  <si>
    <t xml:space="preserve">100% valid tracks; balanced 6/5/6 colors; one score-5 target; single MRI/US pair.</t>
  </si>
  <si>
    <t xml:space="preserve">Prostate-MRI-US-Biopsy-1141</t>
  </si>
  <si>
    <t xml:space="preserve">1.3.6.1.4.1.14519.5.2.1.186732978986962692638207050540810955941</t>
  </si>
  <si>
    <t xml:space="preserve">1.3.6.1.4.1.14519.5.2.1.47781229092676536540533583947046164349</t>
  </si>
  <si>
    <t xml:space="preserve">1.3.6.1.4.1.14519.5.2.1.215955274787605380848958457052013265447</t>
  </si>
  <si>
    <t xml:space="preserve">1.3.6.1.4.1.14519.5.2.1.297920802338452665556945006592067987876</t>
  </si>
  <si>
    <t xml:space="preserve">100% valid tracks; balanced 7/5/5 colors; one score-5 target; single MRI/US pair.</t>
  </si>
  <si>
    <t xml:space="preserve">Prostate-MRI-US-Biopsy-0021</t>
  </si>
  <si>
    <t xml:space="preserve">1.3.6.1.4.1.14519.5.2.1.42678070798527263303376586758092104524</t>
  </si>
  <si>
    <t xml:space="preserve">1.3.6.1.4.1.14519.5.2.1.38204514206830471265324831713160728769</t>
  </si>
  <si>
    <t xml:space="preserve">1.3.6.1.4.1.14519.5.2.1.331839269278099132465525152571805865214</t>
  </si>
  <si>
    <t xml:space="preserve">1.3.6.1.4.1.14519.5.2.1.105272491800549281302768161605087470736</t>
  </si>
  <si>
    <t xml:space="preserve">100% valid tracks; balanced 7/4/5 colors; one score-5 target; single MRI/US pair.</t>
  </si>
  <si>
    <t xml:space="preserve">Prostate-MRI-US-Biopsy-0090</t>
  </si>
  <si>
    <t xml:space="preserve">1.3.6.1.4.1.14519.5.2.1.329498299952607108320790173180575451170</t>
  </si>
  <si>
    <t xml:space="preserve">1.3.6.1.4.1.14519.5.2.1.255437727711478976322452772319270575888</t>
  </si>
  <si>
    <t xml:space="preserve">1.3.6.1.4.1.14519.5.2.1.19659366947794106369188842800918407347</t>
  </si>
  <si>
    <t xml:space="preserve">1.3.6.1.4.1.14519.5.2.1.330753190115966379244871224962733791139</t>
  </si>
  <si>
    <t xml:space="preserve">100% valid tracks; all three colors; one score-4 target; single MRI/US pair.</t>
  </si>
  <si>
    <t xml:space="preserve">Prostate-MRI-US-Biopsy-1099</t>
  </si>
  <si>
    <t xml:space="preserve">1.3.6.1.4.1.14519.5.2.1.117308035732839064279697215249492836785</t>
  </si>
  <si>
    <t xml:space="preserve">1.3.6.1.4.1.14519.5.2.1.14965257691422640385007152209335012185</t>
  </si>
  <si>
    <t xml:space="preserve">1.3.6.1.4.1.14519.5.2.1.316797131127247343109228729345258176449</t>
  </si>
  <si>
    <t xml:space="preserve">1.3.6.1.4.1.14519.5.2.1.196463023518940305257944141431596721198</t>
  </si>
  <si>
    <t xml:space="preserve">100% valid tracks; strong orange representation; one score-4 target; single MRI/US pair.</t>
  </si>
  <si>
    <t xml:space="preserve">Prostate-MRI-US-Biopsy-1072</t>
  </si>
  <si>
    <t xml:space="preserve">1.3.6.1.4.1.14519.5.2.1.68371920356459414599988141045019755121</t>
  </si>
  <si>
    <t xml:space="preserve">1.3.6.1.4.1.14519.5.2.1.37575693289239643975409865298318859118</t>
  </si>
  <si>
    <t xml:space="preserve">1.3.6.1.4.1.14519.5.2.1.9993798042574713605765992115526580752</t>
  </si>
  <si>
    <t xml:space="preserve">1.3.6.1.4.1.14519.5.2.1.65802782260766956116011562902855440811</t>
  </si>
  <si>
    <t xml:space="preserve">100% valid tracks; balanced benign and higher-grade cores; one target; single MRI/US pair.</t>
  </si>
  <si>
    <t xml:space="preserve">Prostate-MRI-US-Biopsy-0239</t>
  </si>
  <si>
    <t xml:space="preserve">1.3.6.1.4.1.14519.5.2.1.102368835264470411610570422009767908697</t>
  </si>
  <si>
    <t xml:space="preserve">1.3.6.1.4.1.14519.5.2.1.311671204031595726193908592052461649414</t>
  </si>
  <si>
    <t xml:space="preserve">1.3.6.1.4.1.14519.5.2.1.1521566619146821782252742352238976791</t>
  </si>
  <si>
    <t xml:space="preserve">1.3.6.1.4.1.14519.5.2.1.196290174621998353494160087059461519734</t>
  </si>
  <si>
    <t xml:space="preserve">100% valid tracks; all colors visible; one score-5 target; single MRI/US pair.</t>
  </si>
  <si>
    <t xml:space="preserve">Prostate-MRI-US-Biopsy-1122</t>
  </si>
  <si>
    <t xml:space="preserve">1.3.6.1.4.1.14519.5.2.1.319776694049459440853788283058883548159</t>
  </si>
  <si>
    <t xml:space="preserve">1.3.6.1.4.1.14519.5.2.1.166092728112064089811461827815632812522</t>
  </si>
  <si>
    <t xml:space="preserve">1.3.6.1.4.1.14519.5.2.1.287610489287623897967985872849901271422</t>
  </si>
  <si>
    <t xml:space="preserve">1.3.6.1.4.1.14519.5.2.1.259309430500750567671995122305098560421</t>
  </si>
  <si>
    <t xml:space="preserve">Prostate-MRI-US-Biopsy-0201</t>
  </si>
  <si>
    <t xml:space="preserve">1.3.6.1.4.1.14519.5.2.1.72254465762183487663819839620334503598</t>
  </si>
  <si>
    <t xml:space="preserve">1.3.6.1.4.1.14519.5.2.1.190355276003333591197444966998615521618</t>
  </si>
  <si>
    <t xml:space="preserve">1.3.6.1.4.1.14519.5.2.1.132062036079827015004296826987308074722</t>
  </si>
  <si>
    <t xml:space="preserve">1.3.6.1.4.1.14519.5.2.1.217728332071823098819104903283401472936</t>
  </si>
  <si>
    <t xml:space="preserve">Prostate-MRI-US-Biopsy-0338</t>
  </si>
  <si>
    <t xml:space="preserve">1.3.6.1.4.1.14519.5.2.1.280429023582613574592053649030929624585</t>
  </si>
  <si>
    <t xml:space="preserve">1.3.6.1.4.1.14519.5.2.1.211678866893368090233039896422847654569</t>
  </si>
  <si>
    <t xml:space="preserve">1.3.6.1.4.1.14519.5.2.1.28288506714299788067253272337208091692</t>
  </si>
  <si>
    <t xml:space="preserve">1.3.6.1.4.1.14519.5.2.1.302941955519652549739907198392250460447</t>
  </si>
  <si>
    <t xml:space="preserve">100% valid tracks; balanced benign and red cores; one score-4 target; single MRI/US pair.</t>
  </si>
  <si>
    <t xml:space="preserve">Prostate-MRI-US-Biopsy-0817</t>
  </si>
  <si>
    <t xml:space="preserve">Complex</t>
  </si>
  <si>
    <t xml:space="preserve">1.3.6.1.4.1.14519.5.2.1.41235724483257276051721199777101152911</t>
  </si>
  <si>
    <t xml:space="preserve">1.3.6.1.4.1.14519.5.2.1.48468552643708838857737863123699548317</t>
  </si>
  <si>
    <t xml:space="preserve">1.3.6.1.4.1.14519.5.2.1.102505431329873751661425519211193472855</t>
  </si>
  <si>
    <t xml:space="preserve">1.3.6.1.4.1.14519.5.2.1.58909191916824999604983056143380633211</t>
  </si>
  <si>
    <t xml:space="preserve">100% valid tracks; balanced colors; three MRI targets; strong complex-scene candidate.</t>
  </si>
  <si>
    <t xml:space="preserve">Prostate-MRI-US-Biopsy-0332</t>
  </si>
  <si>
    <t xml:space="preserve">1.3.6.1.4.1.14519.5.2.1.176991112719063955798758139620446589773</t>
  </si>
  <si>
    <t xml:space="preserve">1.3.6.1.4.1.14519.5.2.1.159451422829981552941801375164542205556</t>
  </si>
  <si>
    <t xml:space="preserve">1.3.6.1.4.1.14519.5.2.1.233158989207448114674736121911207390016</t>
  </si>
  <si>
    <t xml:space="preserve">1.3.6.1.4.1.14519.5.2.1.100016988947442273434032980288772937558</t>
  </si>
  <si>
    <t xml:space="preserve">100% valid tracks; 22 tubes and three targets; visually rich complex-scene candidate.</t>
  </si>
  <si>
    <t xml:space="preserve">Prostate-MRI-US-Biopsy-0915</t>
  </si>
  <si>
    <t xml:space="preserve">1.3.6.1.4.1.14519.5.2.1.125875246611678325571422562452974234519</t>
  </si>
  <si>
    <t xml:space="preserve">1.3.6.1.4.1.14519.5.2.1.221063747617249589650082179922215779719</t>
  </si>
  <si>
    <t xml:space="preserve">1.3.6.1.4.1.14519.5.2.1.126148275075875841311422541926861327967</t>
  </si>
  <si>
    <t xml:space="preserve">1.3.6.1.4.1.14519.5.2.1.77617538709174370088839201340304957671</t>
  </si>
  <si>
    <t xml:space="preserve">100% valid tracks; balanced colors; two targets including score 5.</t>
  </si>
  <si>
    <t xml:space="preserve">Prostate-MRI-US-Biopsy-0434</t>
  </si>
  <si>
    <t xml:space="preserve">1.3.6.1.4.1.14519.5.2.1.275962361967939852555695544863337217599</t>
  </si>
  <si>
    <t xml:space="preserve">1.3.6.1.4.1.14519.5.2.1.148191074705916913387793122119595832681</t>
  </si>
  <si>
    <t xml:space="preserve">1.3.6.1.4.1.14519.5.2.1.176431086534251833616557703431449536711</t>
  </si>
  <si>
    <t xml:space="preserve">1.3.6.1.4.1.14519.5.2.1.294553318115303409708888048258801174888</t>
  </si>
  <si>
    <t xml:space="preserve">100% valid tracks; strong red representation; two targets including score 5.</t>
  </si>
  <si>
    <t xml:space="preserve">Prostate-MRI-US-Biopsy-0992</t>
  </si>
  <si>
    <t xml:space="preserve">1.3.6.1.4.1.14519.5.2.1.19096612126681328283100382957654405732</t>
  </si>
  <si>
    <t xml:space="preserve">1.3.6.1.4.1.14519.5.2.1.335649839916991442475814153428113048900</t>
  </si>
  <si>
    <t xml:space="preserve">1.3.6.1.4.1.14519.5.2.1.255210344557691490393705437990035349097</t>
  </si>
  <si>
    <t xml:space="preserve">1.3.6.1.4.1.14519.5.2.1.274588158436957209980307535574300291632</t>
  </si>
  <si>
    <t xml:space="preserve">100% valid tracks; exceptionally balanced 5/6/6 colors; two targets.</t>
  </si>
  <si>
    <t xml:space="preserve">Prostate-MRI-US-Biopsy-1126</t>
  </si>
  <si>
    <t xml:space="preserve">1.3.6.1.4.1.14519.5.2.1.280118590865703933368199572096465706181</t>
  </si>
  <si>
    <t xml:space="preserve">1.3.6.1.4.1.14519.5.2.1.299961633341431678023596142617311066324</t>
  </si>
  <si>
    <t xml:space="preserve">1.3.6.1.4.1.14519.5.2.1.324965706513890917716042856744274772280</t>
  </si>
  <si>
    <t xml:space="preserve">1.3.6.1.4.1.14519.5.2.1.196507457788573603660918605758463480814</t>
  </si>
  <si>
    <t xml:space="preserve">Prostate-MRI-US-Biopsy-0922</t>
  </si>
  <si>
    <t xml:space="preserve">1.3.6.1.4.1.14519.5.2.1.50987267315574781064144566092541422833</t>
  </si>
  <si>
    <t xml:space="preserve">1.3.6.1.4.1.14519.5.2.1.139688423995106101502839885485838753340</t>
  </si>
  <si>
    <t xml:space="preserve">1.3.6.1.4.1.14519.5.2.1.199645551010920689855427954387497619150</t>
  </si>
  <si>
    <t xml:space="preserve">1.3.6.1.4.1.14519.5.2.1.308972504507205941468421779950761165901</t>
  </si>
  <si>
    <t xml:space="preserve">100% valid tracks; all colors; two targets including score 5.</t>
  </si>
  <si>
    <t xml:space="preserve">Prostate-MRI-US-Biopsy-0771</t>
  </si>
  <si>
    <t xml:space="preserve">1.3.6.1.4.1.14519.5.2.1.175144686669067278174524870117563296774</t>
  </si>
  <si>
    <t xml:space="preserve">1.3.6.1.4.1.14519.5.2.1.157258784223648208282255934721866363537</t>
  </si>
  <si>
    <t xml:space="preserve">1.3.6.1.4.1.14519.5.2.1.305685424058756988155258596791925789170</t>
  </si>
  <si>
    <t xml:space="preserve">1.3.6.1.4.1.14519.5.2.1.151522161105875098412195897332457380243</t>
  </si>
  <si>
    <t xml:space="preserve">100% valid tracks; strongest orange representation; two targets including score 5.</t>
  </si>
  <si>
    <t xml:space="preserve">Prostate-MRI-US-Biopsy-0062</t>
  </si>
  <si>
    <t xml:space="preserve">1.3.6.1.4.1.14519.5.2.1.249257914374511989794952589414426337981</t>
  </si>
  <si>
    <t xml:space="preserve">1.3.6.1.4.1.14519.5.2.1.238679037550252684272432718120555146675</t>
  </si>
  <si>
    <t xml:space="preserve">1.3.6.1.4.1.14519.5.2.1.98754687441423251082476408367358018144</t>
  </si>
  <si>
    <t xml:space="preserve">1.3.6.1.4.1.14519.5.2.1.82652222105846860988118946151491511370</t>
  </si>
  <si>
    <t xml:space="preserve">100% valid tracks; balanced orange/red; two score-4 targets.</t>
  </si>
  <si>
    <t xml:space="preserve">Prostate-MRI-US-Biopsy-0943</t>
  </si>
  <si>
    <t xml:space="preserve">1.3.6.1.4.1.14519.5.2.1.27479705013633249132281643041787906425</t>
  </si>
  <si>
    <t xml:space="preserve">1.3.6.1.4.1.14519.5.2.1.327446012694042575315399302125358298941</t>
  </si>
  <si>
    <t xml:space="preserve">1.3.6.1.4.1.14519.5.2.1.325515309873787559905271099849770397710</t>
  </si>
  <si>
    <t xml:space="preserve">1.3.6.1.4.1.14519.5.2.1.339129518078186804323273597210874553292</t>
  </si>
  <si>
    <t xml:space="preserve">100% valid tracks; lighter 12-core workload; two targets including score 5.</t>
  </si>
  <si>
    <t xml:space="preserve">How these 20 cases were selected</t>
  </si>
  <si>
    <t xml:space="preserve">Criterion</t>
  </si>
  <si>
    <t xml:space="preserve">What was required</t>
  </si>
  <si>
    <t xml:space="preserve">MRI biopsy coordinates</t>
  </si>
  <si>
    <t xml:space="preserve">All six tip/base coordinates present and none equal to -1000 for every selected core.</t>
  </si>
  <si>
    <t xml:space="preserve">Tube colors</t>
  </si>
  <si>
    <t xml:space="preserve">Each patient contains benign, Gleason 3+3, and higher-grade cores, so blue, orange, and red tubes all appear.</t>
  </si>
  <si>
    <t xml:space="preserve">Target STL support</t>
  </si>
  <si>
    <t xml:space="preserve">The patient has one or more target records with UCLA/PIRADS-like score ≥ 2 tied to the same MRI SeriesInstanceUID.</t>
  </si>
  <si>
    <t xml:space="preserve">Series simplicity</t>
  </si>
  <si>
    <t xml:space="preserve">Exactly one MRI UID and one ultrasound UID in the biopsy spreadsheet, reducing matching ambiguity.</t>
  </si>
  <si>
    <t xml:space="preserve">DWI evidence</t>
  </si>
  <si>
    <t xml:space="preserve">Two additional series occur between the same patient's matched series in the official TCIA v2 manifest, consistent with the expected ADC and high-b DWI pair.</t>
  </si>
  <si>
    <t xml:space="preserve">Simple group</t>
  </si>
  <si>
    <t xml:space="preserve">One MRI target; easier first cases for pipeline development and debugging.</t>
  </si>
  <si>
    <t xml:space="preserve">Complex group</t>
  </si>
  <si>
    <t xml:space="preserve">Two or three MRI targets; better for reproducing the more elaborate example visualization.</t>
  </si>
  <si>
    <t xml:space="preserve">Important caveat</t>
  </si>
  <si>
    <t xml:space="preserve">The two additional series UIDs are high-confidence DWI-supplement candidates, not yet conclusively labelled ADC versus high-b.</t>
  </si>
  <si>
    <t xml:space="preserve">Required verification</t>
  </si>
  <si>
    <t xml:space="preserve">After downloading, inspect SeriesDescription, ImageType, DiffusionBValue (0018,9087), and dcm2niix .bval output before deciding which image has the highest b-value.</t>
  </si>
  <si>
    <t xml:space="preserve">Prostate surface</t>
  </si>
  <si>
    <t xml:space="preserve">Confirm the ProstateSurface STL filename contains the selected MRI or US SeriesInstanceUID after extracting the official STL package.</t>
  </si>
  <si>
    <t xml:space="preserve">Terminology</t>
  </si>
  <si>
    <t xml:space="preserve">These are 20 patient cases, not 20 single images. Each case contains multiple DICOM series and many image instances.</t>
  </si>
  <si>
    <t xml:space="preserve">Recommended pilot</t>
  </si>
  <si>
    <t xml:space="preserve">Start with Prostate-MRI-US-Biopsy-0396 because it has 17/17 valid tracks, a balanced 6/5/6 color distribution, one score-5 target, and simple one-MRI/one-US matching.</t>
  </si>
  <si>
    <t xml:space="preserve">Source</t>
  </si>
  <si>
    <t xml:space="preserve">URL</t>
  </si>
  <si>
    <t xml:space="preserve">TCIA collection page</t>
  </si>
  <si>
    <t xml:space="preserve">https://www.cancerimagingarchive.net/collection/prostate-mri-us-biopsy/</t>
  </si>
  <si>
    <t xml:space="preserve">TCIA detailed documentation</t>
  </si>
  <si>
    <t xml:space="preserve">https://wiki.cancerimagingarchive.net/pages/viewpage.action?pageId=68550661</t>
  </si>
  <si>
    <t xml:space="preserve">Biopsy spreadsheet</t>
  </si>
  <si>
    <t xml:space="preserve">User-provided TCIA-Biopsy-Data_2020-07-14.xlsx</t>
  </si>
  <si>
    <t xml:space="preserve">Target spreadsheet</t>
  </si>
  <si>
    <t xml:space="preserve">https://wiki.cancerimagingarchive.net/download/attachments/68550661/Target-Data_2019-12-05%20%282%29.xlsx?api=v2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</si>
</sst>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17365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7F6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DDEBF7"/>
      </patternFill>
    </fill>
    <fill>
      <patternFill patternType="solid">
        <fgColor rgb="FF2F75B5"/>
        <bgColor rgb="FF0066CC"/>
      </patternFill>
    </fill>
    <fill>
      <patternFill patternType="solid">
        <fgColor rgb="FFE2F0D9"/>
        <bgColor rgb="FFDDEBF7"/>
      </patternFill>
    </fill>
    <fill>
      <patternFill patternType="solid">
        <fgColor rgb="FFDDEBF7"/>
        <bgColor rgb="FFD9EAF7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FCE4D6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F75B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4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CE4D6"/>
      <rgbColor rgb="FF99CCFF"/>
      <rgbColor rgb="FFFF99CC"/>
      <rgbColor rgb="FFCC99FF"/>
      <rgbColor rgb="FFF4CCCC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electedCasesTable" displayName="SelectedCasesTable" ref="A4:P24" headerRowCount="1" totalsRowCount="0" totalsRowShown="0">
  <autoFilter ref="A4:P24"/>
  <tableColumns count="16">
    <tableColumn id="1" name="Rank"/>
    <tableColumn id="2" name="Patient ID"/>
    <tableColumn id="3" name="Scene group"/>
    <tableColumn id="4" name="Total cores"/>
    <tableColumn id="5" name="Valid MRI tracks"/>
    <tableColumn id="6" name="Valid %"/>
    <tableColumn id="7" name="Benign / Blue"/>
    <tableColumn id="8" name="Gleason 3+3 / Orange"/>
    <tableColumn id="9" name="Higher grade / Red"/>
    <tableColumn id="10" name="MRI targets ≥ 2"/>
    <tableColumn id="11" name="Max target score"/>
    <tableColumn id="12" name="MRI Series UID"/>
    <tableColumn id="13" name="US Series UID"/>
    <tableColumn id="14" name="Additional Series UID 1"/>
    <tableColumn id="15" name="Additional Series UID 2"/>
    <tableColumn id="16" name="Precise selection reas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5" min="12" style="0" width="31"/>
    <col collapsed="false" customWidth="true" hidden="false" outlineLevel="0" max="16" min="16" style="0" width="4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6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45.75" hidden="false" customHeight="true" outlineLevel="0" collapsed="false">
      <c r="A5" s="4" t="n">
        <v>1</v>
      </c>
      <c r="B5" s="4" t="s">
        <v>18</v>
      </c>
      <c r="C5" s="5" t="s">
        <v>19</v>
      </c>
      <c r="D5" s="4" t="n">
        <v>17</v>
      </c>
      <c r="E5" s="4" t="n">
        <v>17</v>
      </c>
      <c r="F5" s="6" t="n">
        <f aca="false">E5/D5</f>
        <v>1</v>
      </c>
      <c r="G5" s="7" t="n">
        <v>6</v>
      </c>
      <c r="H5" s="8" t="n">
        <v>5</v>
      </c>
      <c r="I5" s="9" t="n">
        <v>6</v>
      </c>
      <c r="J5" s="4" t="n">
        <v>1</v>
      </c>
      <c r="K5" s="4" t="n">
        <v>5</v>
      </c>
      <c r="L5" s="10" t="s">
        <v>20</v>
      </c>
      <c r="M5" s="10" t="s">
        <v>21</v>
      </c>
      <c r="N5" s="10" t="s">
        <v>22</v>
      </c>
      <c r="O5" s="10" t="s">
        <v>23</v>
      </c>
      <c r="P5" s="10" t="s">
        <v>24</v>
      </c>
    </row>
    <row r="6" customFormat="false" ht="45.75" hidden="false" customHeight="true" outlineLevel="0" collapsed="false">
      <c r="A6" s="4" t="n">
        <v>2</v>
      </c>
      <c r="B6" s="4" t="s">
        <v>25</v>
      </c>
      <c r="C6" s="5" t="s">
        <v>19</v>
      </c>
      <c r="D6" s="4" t="n">
        <v>17</v>
      </c>
      <c r="E6" s="4" t="n">
        <v>17</v>
      </c>
      <c r="F6" s="6" t="n">
        <f aca="false">E6/D6</f>
        <v>1</v>
      </c>
      <c r="G6" s="7" t="n">
        <v>7</v>
      </c>
      <c r="H6" s="8" t="n">
        <v>5</v>
      </c>
      <c r="I6" s="9" t="n">
        <v>5</v>
      </c>
      <c r="J6" s="4" t="n">
        <v>1</v>
      </c>
      <c r="K6" s="4" t="n">
        <v>5</v>
      </c>
      <c r="L6" s="10" t="s">
        <v>26</v>
      </c>
      <c r="M6" s="10" t="s">
        <v>27</v>
      </c>
      <c r="N6" s="10" t="s">
        <v>28</v>
      </c>
      <c r="O6" s="10" t="s">
        <v>29</v>
      </c>
      <c r="P6" s="10" t="s">
        <v>30</v>
      </c>
    </row>
    <row r="7" customFormat="false" ht="45.75" hidden="false" customHeight="true" outlineLevel="0" collapsed="false">
      <c r="A7" s="4" t="n">
        <v>3</v>
      </c>
      <c r="B7" s="4" t="s">
        <v>31</v>
      </c>
      <c r="C7" s="5" t="s">
        <v>19</v>
      </c>
      <c r="D7" s="4" t="n">
        <v>16</v>
      </c>
      <c r="E7" s="4" t="n">
        <v>16</v>
      </c>
      <c r="F7" s="6" t="n">
        <f aca="false">E7/D7</f>
        <v>1</v>
      </c>
      <c r="G7" s="7" t="n">
        <v>7</v>
      </c>
      <c r="H7" s="8" t="n">
        <v>4</v>
      </c>
      <c r="I7" s="9" t="n">
        <v>5</v>
      </c>
      <c r="J7" s="4" t="n">
        <v>1</v>
      </c>
      <c r="K7" s="4" t="n">
        <v>5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36</v>
      </c>
    </row>
    <row r="8" customFormat="false" ht="45.75" hidden="false" customHeight="true" outlineLevel="0" collapsed="false">
      <c r="A8" s="4" t="n">
        <v>4</v>
      </c>
      <c r="B8" s="4" t="s">
        <v>37</v>
      </c>
      <c r="C8" s="5" t="s">
        <v>19</v>
      </c>
      <c r="D8" s="4" t="n">
        <v>18</v>
      </c>
      <c r="E8" s="4" t="n">
        <v>18</v>
      </c>
      <c r="F8" s="6" t="n">
        <f aca="false">E8/D8</f>
        <v>1</v>
      </c>
      <c r="G8" s="7" t="n">
        <v>9</v>
      </c>
      <c r="H8" s="8" t="n">
        <v>5</v>
      </c>
      <c r="I8" s="9" t="n">
        <v>4</v>
      </c>
      <c r="J8" s="4" t="n">
        <v>1</v>
      </c>
      <c r="K8" s="4" t="n">
        <v>4</v>
      </c>
      <c r="L8" s="10" t="s">
        <v>38</v>
      </c>
      <c r="M8" s="10" t="s">
        <v>39</v>
      </c>
      <c r="N8" s="10" t="s">
        <v>40</v>
      </c>
      <c r="O8" s="10" t="s">
        <v>41</v>
      </c>
      <c r="P8" s="10" t="s">
        <v>42</v>
      </c>
    </row>
    <row r="9" customFormat="false" ht="45.75" hidden="false" customHeight="true" outlineLevel="0" collapsed="false">
      <c r="A9" s="4" t="n">
        <v>5</v>
      </c>
      <c r="B9" s="4" t="s">
        <v>43</v>
      </c>
      <c r="C9" s="5" t="s">
        <v>19</v>
      </c>
      <c r="D9" s="4" t="n">
        <v>16</v>
      </c>
      <c r="E9" s="4" t="n">
        <v>16</v>
      </c>
      <c r="F9" s="6" t="n">
        <f aca="false">E9/D9</f>
        <v>1</v>
      </c>
      <c r="G9" s="7" t="n">
        <v>4</v>
      </c>
      <c r="H9" s="8" t="n">
        <v>8</v>
      </c>
      <c r="I9" s="9" t="n">
        <v>4</v>
      </c>
      <c r="J9" s="4" t="n">
        <v>1</v>
      </c>
      <c r="K9" s="4" t="n">
        <v>4</v>
      </c>
      <c r="L9" s="10" t="s">
        <v>44</v>
      </c>
      <c r="M9" s="10" t="s">
        <v>45</v>
      </c>
      <c r="N9" s="10" t="s">
        <v>46</v>
      </c>
      <c r="O9" s="10" t="s">
        <v>47</v>
      </c>
      <c r="P9" s="10" t="s">
        <v>48</v>
      </c>
    </row>
    <row r="10" customFormat="false" ht="45.75" hidden="false" customHeight="true" outlineLevel="0" collapsed="false">
      <c r="A10" s="4" t="n">
        <v>6</v>
      </c>
      <c r="B10" s="4" t="s">
        <v>49</v>
      </c>
      <c r="C10" s="5" t="s">
        <v>19</v>
      </c>
      <c r="D10" s="4" t="n">
        <v>18</v>
      </c>
      <c r="E10" s="4" t="n">
        <v>18</v>
      </c>
      <c r="F10" s="6" t="n">
        <f aca="false">E10/D10</f>
        <v>1</v>
      </c>
      <c r="G10" s="7" t="n">
        <v>7</v>
      </c>
      <c r="H10" s="8" t="n">
        <v>4</v>
      </c>
      <c r="I10" s="9" t="n">
        <v>7</v>
      </c>
      <c r="J10" s="4" t="n">
        <v>1</v>
      </c>
      <c r="K10" s="4" t="n">
        <v>3</v>
      </c>
      <c r="L10" s="10" t="s">
        <v>50</v>
      </c>
      <c r="M10" s="10" t="s">
        <v>51</v>
      </c>
      <c r="N10" s="10" t="s">
        <v>52</v>
      </c>
      <c r="O10" s="10" t="s">
        <v>53</v>
      </c>
      <c r="P10" s="10" t="s">
        <v>54</v>
      </c>
    </row>
    <row r="11" customFormat="false" ht="45.75" hidden="false" customHeight="true" outlineLevel="0" collapsed="false">
      <c r="A11" s="4" t="n">
        <v>7</v>
      </c>
      <c r="B11" s="4" t="s">
        <v>55</v>
      </c>
      <c r="C11" s="5" t="s">
        <v>19</v>
      </c>
      <c r="D11" s="4" t="n">
        <v>18</v>
      </c>
      <c r="E11" s="4" t="n">
        <v>18</v>
      </c>
      <c r="F11" s="6" t="n">
        <f aca="false">E11/D11</f>
        <v>1</v>
      </c>
      <c r="G11" s="7" t="n">
        <v>9</v>
      </c>
      <c r="H11" s="8" t="n">
        <v>6</v>
      </c>
      <c r="I11" s="9" t="n">
        <v>3</v>
      </c>
      <c r="J11" s="4" t="n">
        <v>1</v>
      </c>
      <c r="K11" s="4" t="n">
        <v>5</v>
      </c>
      <c r="L11" s="10" t="s">
        <v>56</v>
      </c>
      <c r="M11" s="10" t="s">
        <v>57</v>
      </c>
      <c r="N11" s="10" t="s">
        <v>58</v>
      </c>
      <c r="O11" s="10" t="s">
        <v>59</v>
      </c>
      <c r="P11" s="10" t="s">
        <v>60</v>
      </c>
    </row>
    <row r="12" customFormat="false" ht="45.75" hidden="false" customHeight="true" outlineLevel="0" collapsed="false">
      <c r="A12" s="4" t="n">
        <v>8</v>
      </c>
      <c r="B12" s="4" t="s">
        <v>61</v>
      </c>
      <c r="C12" s="5" t="s">
        <v>19</v>
      </c>
      <c r="D12" s="4" t="n">
        <v>17</v>
      </c>
      <c r="E12" s="4" t="n">
        <v>17</v>
      </c>
      <c r="F12" s="6" t="n">
        <f aca="false">E12/D12</f>
        <v>1</v>
      </c>
      <c r="G12" s="7" t="n">
        <v>9</v>
      </c>
      <c r="H12" s="8" t="n">
        <v>3</v>
      </c>
      <c r="I12" s="9" t="n">
        <v>5</v>
      </c>
      <c r="J12" s="4" t="n">
        <v>1</v>
      </c>
      <c r="K12" s="4" t="n">
        <v>5</v>
      </c>
      <c r="L12" s="10" t="s">
        <v>62</v>
      </c>
      <c r="M12" s="10" t="s">
        <v>63</v>
      </c>
      <c r="N12" s="10" t="s">
        <v>64</v>
      </c>
      <c r="O12" s="10" t="s">
        <v>65</v>
      </c>
      <c r="P12" s="10" t="s">
        <v>60</v>
      </c>
    </row>
    <row r="13" customFormat="false" ht="45.75" hidden="false" customHeight="true" outlineLevel="0" collapsed="false">
      <c r="A13" s="4" t="n">
        <v>9</v>
      </c>
      <c r="B13" s="4" t="s">
        <v>66</v>
      </c>
      <c r="C13" s="5" t="s">
        <v>19</v>
      </c>
      <c r="D13" s="4" t="n">
        <v>17</v>
      </c>
      <c r="E13" s="4" t="n">
        <v>17</v>
      </c>
      <c r="F13" s="6" t="n">
        <f aca="false">E13/D13</f>
        <v>1</v>
      </c>
      <c r="G13" s="7" t="n">
        <v>9</v>
      </c>
      <c r="H13" s="8" t="n">
        <v>5</v>
      </c>
      <c r="I13" s="9" t="n">
        <v>3</v>
      </c>
      <c r="J13" s="4" t="n">
        <v>1</v>
      </c>
      <c r="K13" s="4" t="n">
        <v>5</v>
      </c>
      <c r="L13" s="10" t="s">
        <v>67</v>
      </c>
      <c r="M13" s="10" t="s">
        <v>68</v>
      </c>
      <c r="N13" s="10" t="s">
        <v>69</v>
      </c>
      <c r="O13" s="10" t="s">
        <v>70</v>
      </c>
      <c r="P13" s="10" t="s">
        <v>60</v>
      </c>
    </row>
    <row r="14" customFormat="false" ht="45.75" hidden="false" customHeight="true" outlineLevel="0" collapsed="false">
      <c r="A14" s="4" t="n">
        <v>10</v>
      </c>
      <c r="B14" s="4" t="s">
        <v>71</v>
      </c>
      <c r="C14" s="5" t="s">
        <v>19</v>
      </c>
      <c r="D14" s="4" t="n">
        <v>17</v>
      </c>
      <c r="E14" s="4" t="n">
        <v>17</v>
      </c>
      <c r="F14" s="6" t="n">
        <f aca="false">E14/D14</f>
        <v>1</v>
      </c>
      <c r="G14" s="7" t="n">
        <v>7</v>
      </c>
      <c r="H14" s="8" t="n">
        <v>3</v>
      </c>
      <c r="I14" s="9" t="n">
        <v>7</v>
      </c>
      <c r="J14" s="4" t="n">
        <v>1</v>
      </c>
      <c r="K14" s="4" t="n">
        <v>4</v>
      </c>
      <c r="L14" s="10" t="s">
        <v>72</v>
      </c>
      <c r="M14" s="10" t="s">
        <v>73</v>
      </c>
      <c r="N14" s="10" t="s">
        <v>74</v>
      </c>
      <c r="O14" s="10" t="s">
        <v>75</v>
      </c>
      <c r="P14" s="10" t="s">
        <v>76</v>
      </c>
    </row>
    <row r="15" customFormat="false" ht="45.75" hidden="false" customHeight="true" outlineLevel="0" collapsed="false">
      <c r="A15" s="4" t="n">
        <v>11</v>
      </c>
      <c r="B15" s="4" t="s">
        <v>77</v>
      </c>
      <c r="C15" s="11" t="s">
        <v>78</v>
      </c>
      <c r="D15" s="4" t="n">
        <v>19</v>
      </c>
      <c r="E15" s="4" t="n">
        <v>19</v>
      </c>
      <c r="F15" s="6" t="n">
        <f aca="false">E15/D15</f>
        <v>1</v>
      </c>
      <c r="G15" s="7" t="n">
        <v>9</v>
      </c>
      <c r="H15" s="8" t="n">
        <v>5</v>
      </c>
      <c r="I15" s="9" t="n">
        <v>5</v>
      </c>
      <c r="J15" s="4" t="n">
        <v>3</v>
      </c>
      <c r="K15" s="4" t="n">
        <v>4</v>
      </c>
      <c r="L15" s="10" t="s">
        <v>79</v>
      </c>
      <c r="M15" s="10" t="s">
        <v>80</v>
      </c>
      <c r="N15" s="10" t="s">
        <v>81</v>
      </c>
      <c r="O15" s="10" t="s">
        <v>82</v>
      </c>
      <c r="P15" s="10" t="s">
        <v>83</v>
      </c>
    </row>
    <row r="16" customFormat="false" ht="45.75" hidden="false" customHeight="true" outlineLevel="0" collapsed="false">
      <c r="A16" s="4" t="n">
        <v>12</v>
      </c>
      <c r="B16" s="4" t="s">
        <v>84</v>
      </c>
      <c r="C16" s="11" t="s">
        <v>78</v>
      </c>
      <c r="D16" s="4" t="n">
        <v>22</v>
      </c>
      <c r="E16" s="4" t="n">
        <v>22</v>
      </c>
      <c r="F16" s="6" t="n">
        <f aca="false">E16/D16</f>
        <v>1</v>
      </c>
      <c r="G16" s="7" t="n">
        <v>10</v>
      </c>
      <c r="H16" s="8" t="n">
        <v>8</v>
      </c>
      <c r="I16" s="9" t="n">
        <v>4</v>
      </c>
      <c r="J16" s="4" t="n">
        <v>3</v>
      </c>
      <c r="K16" s="4" t="n">
        <v>4</v>
      </c>
      <c r="L16" s="10" t="s">
        <v>85</v>
      </c>
      <c r="M16" s="10" t="s">
        <v>86</v>
      </c>
      <c r="N16" s="10" t="s">
        <v>87</v>
      </c>
      <c r="O16" s="10" t="s">
        <v>88</v>
      </c>
      <c r="P16" s="10" t="s">
        <v>89</v>
      </c>
    </row>
    <row r="17" customFormat="false" ht="45.75" hidden="false" customHeight="true" outlineLevel="0" collapsed="false">
      <c r="A17" s="4" t="n">
        <v>13</v>
      </c>
      <c r="B17" s="4" t="s">
        <v>90</v>
      </c>
      <c r="C17" s="11" t="s">
        <v>78</v>
      </c>
      <c r="D17" s="4" t="n">
        <v>20</v>
      </c>
      <c r="E17" s="4" t="n">
        <v>20</v>
      </c>
      <c r="F17" s="6" t="n">
        <f aca="false">E17/D17</f>
        <v>1</v>
      </c>
      <c r="G17" s="7" t="n">
        <v>9</v>
      </c>
      <c r="H17" s="8" t="n">
        <v>7</v>
      </c>
      <c r="I17" s="9" t="n">
        <v>4</v>
      </c>
      <c r="J17" s="4" t="n">
        <v>2</v>
      </c>
      <c r="K17" s="4" t="n">
        <v>5</v>
      </c>
      <c r="L17" s="10" t="s">
        <v>91</v>
      </c>
      <c r="M17" s="10" t="s">
        <v>92</v>
      </c>
      <c r="N17" s="10" t="s">
        <v>93</v>
      </c>
      <c r="O17" s="10" t="s">
        <v>94</v>
      </c>
      <c r="P17" s="10" t="s">
        <v>95</v>
      </c>
    </row>
    <row r="18" customFormat="false" ht="45.75" hidden="false" customHeight="true" outlineLevel="0" collapsed="false">
      <c r="A18" s="4" t="n">
        <v>14</v>
      </c>
      <c r="B18" s="4" t="s">
        <v>96</v>
      </c>
      <c r="C18" s="11" t="s">
        <v>78</v>
      </c>
      <c r="D18" s="4" t="n">
        <v>18</v>
      </c>
      <c r="E18" s="4" t="n">
        <v>18</v>
      </c>
      <c r="F18" s="6" t="n">
        <f aca="false">E18/D18</f>
        <v>1</v>
      </c>
      <c r="G18" s="7" t="n">
        <v>6</v>
      </c>
      <c r="H18" s="8" t="n">
        <v>4</v>
      </c>
      <c r="I18" s="9" t="n">
        <v>8</v>
      </c>
      <c r="J18" s="4" t="n">
        <v>2</v>
      </c>
      <c r="K18" s="4" t="n">
        <v>5</v>
      </c>
      <c r="L18" s="10" t="s">
        <v>97</v>
      </c>
      <c r="M18" s="10" t="s">
        <v>98</v>
      </c>
      <c r="N18" s="10" t="s">
        <v>99</v>
      </c>
      <c r="O18" s="10" t="s">
        <v>100</v>
      </c>
      <c r="P18" s="10" t="s">
        <v>101</v>
      </c>
    </row>
    <row r="19" customFormat="false" ht="45.75" hidden="false" customHeight="true" outlineLevel="0" collapsed="false">
      <c r="A19" s="4" t="n">
        <v>15</v>
      </c>
      <c r="B19" s="4" t="s">
        <v>102</v>
      </c>
      <c r="C19" s="11" t="s">
        <v>78</v>
      </c>
      <c r="D19" s="4" t="n">
        <v>17</v>
      </c>
      <c r="E19" s="4" t="n">
        <v>17</v>
      </c>
      <c r="F19" s="6" t="n">
        <f aca="false">E19/D19</f>
        <v>1</v>
      </c>
      <c r="G19" s="7" t="n">
        <v>5</v>
      </c>
      <c r="H19" s="8" t="n">
        <v>6</v>
      </c>
      <c r="I19" s="9" t="n">
        <v>6</v>
      </c>
      <c r="J19" s="4" t="n">
        <v>2</v>
      </c>
      <c r="K19" s="4" t="n">
        <v>3</v>
      </c>
      <c r="L19" s="10" t="s">
        <v>103</v>
      </c>
      <c r="M19" s="10" t="s">
        <v>104</v>
      </c>
      <c r="N19" s="10" t="s">
        <v>105</v>
      </c>
      <c r="O19" s="10" t="s">
        <v>106</v>
      </c>
      <c r="P19" s="10" t="s">
        <v>107</v>
      </c>
    </row>
    <row r="20" customFormat="false" ht="45.75" hidden="false" customHeight="true" outlineLevel="0" collapsed="false">
      <c r="A20" s="4" t="n">
        <v>16</v>
      </c>
      <c r="B20" s="4" t="s">
        <v>108</v>
      </c>
      <c r="C20" s="11" t="s">
        <v>78</v>
      </c>
      <c r="D20" s="4" t="n">
        <v>17</v>
      </c>
      <c r="E20" s="4" t="n">
        <v>17</v>
      </c>
      <c r="F20" s="6" t="n">
        <f aca="false">E20/D20</f>
        <v>1</v>
      </c>
      <c r="G20" s="7" t="n">
        <v>8</v>
      </c>
      <c r="H20" s="8" t="n">
        <v>5</v>
      </c>
      <c r="I20" s="9" t="n">
        <v>4</v>
      </c>
      <c r="J20" s="4" t="n">
        <v>2</v>
      </c>
      <c r="K20" s="4" t="n">
        <v>5</v>
      </c>
      <c r="L20" s="10" t="s">
        <v>109</v>
      </c>
      <c r="M20" s="10" t="s">
        <v>110</v>
      </c>
      <c r="N20" s="10" t="s">
        <v>111</v>
      </c>
      <c r="O20" s="10" t="s">
        <v>112</v>
      </c>
      <c r="P20" s="10" t="s">
        <v>95</v>
      </c>
    </row>
    <row r="21" customFormat="false" ht="45.75" hidden="false" customHeight="true" outlineLevel="0" collapsed="false">
      <c r="A21" s="4" t="n">
        <v>17</v>
      </c>
      <c r="B21" s="4" t="s">
        <v>113</v>
      </c>
      <c r="C21" s="11" t="s">
        <v>78</v>
      </c>
      <c r="D21" s="4" t="n">
        <v>18</v>
      </c>
      <c r="E21" s="4" t="n">
        <v>18</v>
      </c>
      <c r="F21" s="6" t="n">
        <f aca="false">E21/D21</f>
        <v>1</v>
      </c>
      <c r="G21" s="7" t="n">
        <v>9</v>
      </c>
      <c r="H21" s="8" t="n">
        <v>5</v>
      </c>
      <c r="I21" s="9" t="n">
        <v>4</v>
      </c>
      <c r="J21" s="4" t="n">
        <v>2</v>
      </c>
      <c r="K21" s="4" t="n">
        <v>5</v>
      </c>
      <c r="L21" s="10" t="s">
        <v>114</v>
      </c>
      <c r="M21" s="10" t="s">
        <v>115</v>
      </c>
      <c r="N21" s="10" t="s">
        <v>116</v>
      </c>
      <c r="O21" s="10" t="s">
        <v>117</v>
      </c>
      <c r="P21" s="10" t="s">
        <v>118</v>
      </c>
    </row>
    <row r="22" customFormat="false" ht="45.75" hidden="false" customHeight="true" outlineLevel="0" collapsed="false">
      <c r="A22" s="4" t="n">
        <v>18</v>
      </c>
      <c r="B22" s="4" t="s">
        <v>119</v>
      </c>
      <c r="C22" s="11" t="s">
        <v>78</v>
      </c>
      <c r="D22" s="4" t="n">
        <v>20</v>
      </c>
      <c r="E22" s="4" t="n">
        <v>20</v>
      </c>
      <c r="F22" s="6" t="n">
        <f aca="false">E22/D22</f>
        <v>1</v>
      </c>
      <c r="G22" s="7" t="n">
        <v>8</v>
      </c>
      <c r="H22" s="8" t="n">
        <v>9</v>
      </c>
      <c r="I22" s="9" t="n">
        <v>3</v>
      </c>
      <c r="J22" s="4" t="n">
        <v>2</v>
      </c>
      <c r="K22" s="4" t="n">
        <v>5</v>
      </c>
      <c r="L22" s="10" t="s">
        <v>120</v>
      </c>
      <c r="M22" s="10" t="s">
        <v>121</v>
      </c>
      <c r="N22" s="10" t="s">
        <v>122</v>
      </c>
      <c r="O22" s="10" t="s">
        <v>123</v>
      </c>
      <c r="P22" s="10" t="s">
        <v>124</v>
      </c>
    </row>
    <row r="23" customFormat="false" ht="45.75" hidden="false" customHeight="true" outlineLevel="0" collapsed="false">
      <c r="A23" s="4" t="n">
        <v>19</v>
      </c>
      <c r="B23" s="4" t="s">
        <v>125</v>
      </c>
      <c r="C23" s="11" t="s">
        <v>78</v>
      </c>
      <c r="D23" s="4" t="n">
        <v>16</v>
      </c>
      <c r="E23" s="4" t="n">
        <v>16</v>
      </c>
      <c r="F23" s="6" t="n">
        <f aca="false">E23/D23</f>
        <v>1</v>
      </c>
      <c r="G23" s="7" t="n">
        <v>8</v>
      </c>
      <c r="H23" s="8" t="n">
        <v>4</v>
      </c>
      <c r="I23" s="9" t="n">
        <v>4</v>
      </c>
      <c r="J23" s="4" t="n">
        <v>2</v>
      </c>
      <c r="K23" s="4" t="n">
        <v>4</v>
      </c>
      <c r="L23" s="10" t="s">
        <v>126</v>
      </c>
      <c r="M23" s="10" t="s">
        <v>127</v>
      </c>
      <c r="N23" s="10" t="s">
        <v>128</v>
      </c>
      <c r="O23" s="10" t="s">
        <v>129</v>
      </c>
      <c r="P23" s="10" t="s">
        <v>130</v>
      </c>
    </row>
    <row r="24" customFormat="false" ht="45.75" hidden="false" customHeight="true" outlineLevel="0" collapsed="false">
      <c r="A24" s="4" t="n">
        <v>20</v>
      </c>
      <c r="B24" s="4" t="s">
        <v>131</v>
      </c>
      <c r="C24" s="11" t="s">
        <v>78</v>
      </c>
      <c r="D24" s="4" t="n">
        <v>12</v>
      </c>
      <c r="E24" s="4" t="n">
        <v>12</v>
      </c>
      <c r="F24" s="6" t="n">
        <f aca="false">E24/D24</f>
        <v>1</v>
      </c>
      <c r="G24" s="7" t="n">
        <v>5</v>
      </c>
      <c r="H24" s="8" t="n">
        <v>3</v>
      </c>
      <c r="I24" s="9" t="n">
        <v>4</v>
      </c>
      <c r="J24" s="4" t="n">
        <v>2</v>
      </c>
      <c r="K24" s="4" t="n">
        <v>5</v>
      </c>
      <c r="L24" s="10" t="s">
        <v>132</v>
      </c>
      <c r="M24" s="10" t="s">
        <v>133</v>
      </c>
      <c r="N24" s="10" t="s">
        <v>134</v>
      </c>
      <c r="O24" s="10" t="s">
        <v>135</v>
      </c>
      <c r="P24" s="10" t="s">
        <v>136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86"/>
  </cols>
  <sheetData>
    <row r="1" customFormat="false" ht="18.55" hidden="false" customHeight="false" outlineLevel="0" collapsed="false">
      <c r="A1" s="12" t="s">
        <v>137</v>
      </c>
      <c r="B1" s="12"/>
    </row>
    <row r="3" customFormat="false" ht="42" hidden="false" customHeight="true" outlineLevel="0" collapsed="false">
      <c r="A3" s="13" t="s">
        <v>138</v>
      </c>
      <c r="B3" s="13" t="s">
        <v>139</v>
      </c>
    </row>
    <row r="4" customFormat="false" ht="42" hidden="false" customHeight="true" outlineLevel="0" collapsed="false">
      <c r="A4" s="14" t="s">
        <v>140</v>
      </c>
      <c r="B4" s="14" t="s">
        <v>141</v>
      </c>
    </row>
    <row r="5" customFormat="false" ht="42" hidden="false" customHeight="true" outlineLevel="0" collapsed="false">
      <c r="A5" s="14" t="s">
        <v>142</v>
      </c>
      <c r="B5" s="14" t="s">
        <v>143</v>
      </c>
    </row>
    <row r="6" customFormat="false" ht="42" hidden="false" customHeight="true" outlineLevel="0" collapsed="false">
      <c r="A6" s="14" t="s">
        <v>144</v>
      </c>
      <c r="B6" s="14" t="s">
        <v>145</v>
      </c>
    </row>
    <row r="7" customFormat="false" ht="42" hidden="false" customHeight="true" outlineLevel="0" collapsed="false">
      <c r="A7" s="14" t="s">
        <v>146</v>
      </c>
      <c r="B7" s="14" t="s">
        <v>147</v>
      </c>
    </row>
    <row r="8" customFormat="false" ht="42" hidden="false" customHeight="true" outlineLevel="0" collapsed="false">
      <c r="A8" s="14" t="s">
        <v>148</v>
      </c>
      <c r="B8" s="14" t="s">
        <v>149</v>
      </c>
    </row>
    <row r="9" customFormat="false" ht="42" hidden="false" customHeight="true" outlineLevel="0" collapsed="false">
      <c r="A9" s="14" t="s">
        <v>150</v>
      </c>
      <c r="B9" s="14" t="s">
        <v>151</v>
      </c>
    </row>
    <row r="10" customFormat="false" ht="42" hidden="false" customHeight="true" outlineLevel="0" collapsed="false">
      <c r="A10" s="14" t="s">
        <v>152</v>
      </c>
      <c r="B10" s="14" t="s">
        <v>153</v>
      </c>
    </row>
    <row r="12" customFormat="false" ht="49.5" hidden="false" customHeight="true" outlineLevel="0" collapsed="false">
      <c r="A12" s="15" t="s">
        <v>154</v>
      </c>
      <c r="B12" s="15" t="s">
        <v>155</v>
      </c>
    </row>
    <row r="13" customFormat="false" ht="49.5" hidden="false" customHeight="true" outlineLevel="0" collapsed="false">
      <c r="A13" s="15" t="s">
        <v>156</v>
      </c>
      <c r="B13" s="15" t="s">
        <v>157</v>
      </c>
    </row>
    <row r="14" customFormat="false" ht="49.5" hidden="false" customHeight="true" outlineLevel="0" collapsed="false">
      <c r="A14" s="15" t="s">
        <v>158</v>
      </c>
      <c r="B14" s="15" t="s">
        <v>159</v>
      </c>
    </row>
    <row r="15" customFormat="false" ht="49.5" hidden="false" customHeight="true" outlineLevel="0" collapsed="false">
      <c r="A15" s="15" t="s">
        <v>160</v>
      </c>
      <c r="B15" s="15" t="s">
        <v>161</v>
      </c>
    </row>
    <row r="16" customFormat="false" ht="49.5" hidden="false" customHeight="true" outlineLevel="0" collapsed="false">
      <c r="A16" s="15" t="s">
        <v>162</v>
      </c>
      <c r="B16" s="15" t="s">
        <v>163</v>
      </c>
    </row>
    <row r="18" customFormat="false" ht="15" hidden="false" customHeight="false" outlineLevel="0" collapsed="false">
      <c r="A18" s="13" t="s">
        <v>164</v>
      </c>
      <c r="B18" s="13" t="s">
        <v>165</v>
      </c>
    </row>
    <row r="19" customFormat="false" ht="15" hidden="false" customHeight="false" outlineLevel="0" collapsed="false">
      <c r="A19" s="14" t="s">
        <v>166</v>
      </c>
      <c r="B19" s="14" t="s">
        <v>167</v>
      </c>
    </row>
    <row r="20" customFormat="false" ht="26.85" hidden="false" customHeight="false" outlineLevel="0" collapsed="false">
      <c r="A20" s="14" t="s">
        <v>168</v>
      </c>
      <c r="B20" s="14" t="s">
        <v>169</v>
      </c>
    </row>
    <row r="21" customFormat="false" ht="15" hidden="false" customHeight="false" outlineLevel="0" collapsed="false">
      <c r="A21" s="14" t="s">
        <v>170</v>
      </c>
      <c r="B21" s="14" t="s">
        <v>171</v>
      </c>
    </row>
    <row r="22" customFormat="false" ht="26.85" hidden="false" customHeight="false" outlineLevel="0" collapsed="false">
      <c r="A22" s="14" t="s">
        <v>172</v>
      </c>
      <c r="B22" s="14" t="s">
        <v>173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2026-07-31T05:19:53Z</dcterms:created>
  <dc:creator>openpyxl</dc:creator>
  <dc:description/>
  <dc:language>en-US</dc:language>
  <cp:lastModifiedBy/>
  <dcterms:modified xsi:type="dcterms:W3CDTF">2026-07-31T05:19:53Z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